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FE8BBF1-6A36-4ABB-95A6-82FABE65B6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<sst xmlns="http://schemas.openxmlformats.org/spreadsheetml/2006/main" count="15" uniqueCount="15">
  <si>
    <t>股票名称</t>
  </si>
  <si>
    <t>股票代码</t>
  </si>
  <si>
    <t>最高价回撤</t>
    <phoneticPr fontId="2" type="noConversion"/>
  </si>
  <si>
    <t>起始价回撤</t>
    <phoneticPr fontId="2" type="noConversion"/>
  </si>
  <si>
    <t>湖南白银</t>
  </si>
  <si>
    <t>002716</t>
  </si>
  <si>
    <t>蓝色光标</t>
  </si>
  <si>
    <t>300058</t>
  </si>
  <si>
    <t>利欧股份</t>
  </si>
  <si>
    <t>002131</t>
  </si>
  <si>
    <t>起始日价</t>
    <phoneticPr fontId="2" type="noConversion"/>
  </si>
  <si>
    <t>序号</t>
    <phoneticPr fontId="2" type="noConversion"/>
  </si>
  <si>
    <t>起始日起
最高价自动更新</t>
    <phoneticPr fontId="2" type="noConversion"/>
  </si>
  <si>
    <t>涨幅</t>
    <phoneticPr fontId="2" type="noConversion"/>
  </si>
  <si>
    <t>每日收盘价
自动更新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</si>
</sst>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58" fontId="5" fillId="0" borderId="0" xfId="0" applyNumberFormat="1" applyFont="1" applyFill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66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66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66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9" sqref="G9"/>
    </sheetView>
  </sheetViews>
  <sheetFormatPr defaultColWidth="12.875" defaultRowHeight="14.25" x14ac:dyDescent="0.2"/>
  <cols>
    <col min="1" max="1" width="5.75" style="4" customWidth="1"/>
    <col min="2" max="2" width="10" style="4" customWidth="1"/>
    <col min="3" max="3" width="9.75" style="5" customWidth="1"/>
    <col min="4" max="4" width="7.75" style="4" customWidth="1"/>
    <col min="5" max="5" width="11.5" style="4" customWidth="1"/>
    <col min="6" max="6" width="14.125" style="4" customWidth="1"/>
    <col min="7" max="7" width="8" style="4" customWidth="1"/>
    <col min="8" max="9" width="11.875" style="4" bestFit="1" customWidth="1"/>
    <col min="10" max="16384" width="12.875" style="4"/>
  </cols>
  <sheetData>
    <row r="1" spans="1:9" ht="47.25" x14ac:dyDescent="0.2">
      <c r="A1" s="1" t="s">
        <v>11</v>
      </c>
      <c r="B1" s="1" t="s">
        <v>0</v>
      </c>
      <c r="C1" s="2" t="s">
        <v>1</v>
      </c>
      <c r="D1" s="3" t="s">
        <v>10</v>
      </c>
      <c r="E1" s="8" t="s">
        <v>12</v>
      </c>
      <c r="F1" s="8" t="s">
        <v>14</v>
      </c>
      <c r="G1" s="1" t="s">
        <v>13</v>
      </c>
      <c r="H1" s="1" t="s">
        <v>2</v>
      </c>
      <c r="I1" s="1" t="s">
        <v>3</v>
      </c>
    </row>
    <row r="2" spans="1:9" ht="24" customHeight="1" x14ac:dyDescent="0.2">
      <c r="A2" s="4">
        <v>1</v>
      </c>
      <c r="B2" s="4" t="s">
        <v>4</v>
      </c>
      <c r="C2" s="5" t="s">
        <v>5</v>
      </c>
      <c r="D2" s="4">
        <v>6.92</v>
      </c>
      <c r="E2" s="4">
        <v>21.3</v>
      </c>
      <c r="F2" s="4">
        <v>14.28</v>
      </c>
      <c r="G2" s="6">
        <f t="shared" ref="G2:G4" si="0">SUM((E2-D2)/D2)</f>
        <v>2.0780346820809248</v>
      </c>
      <c r="H2" s="6">
        <f>SUM((E2-F2)/E2)</f>
        <v>0.32957746478873245</v>
      </c>
      <c r="I2" s="6">
        <f t="shared" ref="I2:I4" si="1">SUM((D2-F2)/D2)/-1</f>
        <v>1.0635838150289016</v>
      </c>
    </row>
    <row r="3" spans="1:9" ht="24" customHeight="1" x14ac:dyDescent="0.2">
      <c r="A3" s="4">
        <v>2</v>
      </c>
      <c r="B3" s="4" t="s">
        <v>6</v>
      </c>
      <c r="C3" s="5" t="s">
        <v>7</v>
      </c>
      <c r="D3" s="4">
        <v>11.52</v>
      </c>
      <c r="E3" s="4">
        <v>24.43</v>
      </c>
      <c r="F3" s="4">
        <v>19.62</v>
      </c>
      <c r="G3" s="6">
        <f t="shared" si="0"/>
        <v>1.1206597222222223</v>
      </c>
      <c r="H3" s="6">
        <f>SUM((E3-F3)/E3)/-1</f>
        <v>-0.19688907081457219</v>
      </c>
      <c r="I3" s="6">
        <f t="shared" si="1"/>
        <v>0.70312500000000011</v>
      </c>
    </row>
    <row r="4" spans="1:9" ht="24" customHeight="1" x14ac:dyDescent="0.2">
      <c r="A4" s="4">
        <v>3</v>
      </c>
      <c r="B4" s="4" t="s">
        <v>8</v>
      </c>
      <c r="C4" s="5" t="s">
        <v>9</v>
      </c>
      <c r="D4" s="7">
        <v>5.64</v>
      </c>
      <c r="E4" s="4">
        <v>10.4</v>
      </c>
      <c r="F4" s="4">
        <v>8.35</v>
      </c>
      <c r="G4" s="6">
        <f t="shared" si="0"/>
        <v>0.84397163120567398</v>
      </c>
      <c r="H4" s="6">
        <f>SUM((E4-F4)/-E4)</f>
        <v>-0.19711538461538466</v>
      </c>
      <c r="I4" s="6">
        <f t="shared" si="1"/>
        <v>0.48049645390070922</v>
      </c>
    </row>
  </sheetData>
  <phoneticPr fontId="2" type="noConversion"/>
  <conditionalFormatting sqref="G2:G4">
    <cfRule type="cellIs" dxfId="19" priority="7" operator="greaterThan">
      <formula>0.3</formula>
    </cfRule>
    <cfRule type="cellIs" dxfId="18" priority="8" operator="greaterThan">
      <formula>0.3</formula>
    </cfRule>
  </conditionalFormatting>
  <conditionalFormatting sqref="G2:G1048576">
    <cfRule type="cellIs" dxfId="17" priority="9" operator="greaterThan">
      <formula>0.3</formula>
    </cfRule>
  </conditionalFormatting>
  <conditionalFormatting sqref="H2:H1048576">
    <cfRule type="cellIs" dxfId="16" priority="3" operator="lessThan">
      <formula>-0.19</formula>
    </cfRule>
    <cfRule type="cellIs" dxfId="15" priority="6" operator="lessThan">
      <formula>-0.3</formula>
    </cfRule>
  </conditionalFormatting>
  <conditionalFormatting sqref="I2:I1048576">
    <cfRule type="cellIs" dxfId="11" priority="4" operator="lessThan">
      <formula>-0.1</formula>
    </cfRule>
    <cfRule type="cellIs" dxfId="10" priority="5" operator="lessThan">
      <formula>-0.15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小蕾 胡</cp:lastModifiedBy>
  <dcterms:created xsi:type="dcterms:W3CDTF">2015-06-05T18:19:34Z</dcterms:created>
  <dcterms:modified xsi:type="dcterms:W3CDTF">2026-03-06T05:12:33Z</dcterms:modified>
</cp:coreProperties>
</file>